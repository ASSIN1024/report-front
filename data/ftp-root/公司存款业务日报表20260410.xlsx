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公司存款明细" sheetId="1" state="visible" r:id="rId2"/>
    <sheet name="汇总分析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<sst xmlns="http://schemas.openxmlformats.org/spreadsheetml/2006/main" count="114" uniqueCount="75">
  <si>
    <t xml:space="preserve">公司存款业务日报表</t>
  </si>
  <si>
    <r>
      <rPr>
        <sz val="9"/>
        <color rgb="FF666666"/>
        <rFont val="Noto Sans CJK SC"/>
        <family val="2"/>
      </rPr>
      <t xml:space="preserve">报告日期：</t>
    </r>
    <r>
      <rPr>
        <sz val="9"/>
        <color rgb="FF666666"/>
        <rFont val="Arial"/>
        <family val="0"/>
        <charset val="1"/>
      </rPr>
      <t xml:space="preserve">2026-04-09    </t>
    </r>
    <r>
      <rPr>
        <sz val="9"/>
        <color rgb="FF666666"/>
        <rFont val="Noto Sans CJK SC"/>
        <family val="2"/>
      </rPr>
      <t xml:space="preserve">单位：万元（人民币）</t>
    </r>
  </si>
  <si>
    <t xml:space="preserve">机构编号</t>
  </si>
  <si>
    <t xml:space="preserve">机构名称</t>
  </si>
  <si>
    <t xml:space="preserve">存款类型</t>
  </si>
  <si>
    <t xml:space="preserve">时点余额</t>
  </si>
  <si>
    <t xml:space="preserve">比昨日</t>
  </si>
  <si>
    <t xml:space="preserve">比月初</t>
  </si>
  <si>
    <t xml:space="preserve">比年初</t>
  </si>
  <si>
    <t xml:space="preserve">日均余额</t>
  </si>
  <si>
    <t xml:space="preserve">日均比昨日</t>
  </si>
  <si>
    <t xml:space="preserve">日均比月初</t>
  </si>
  <si>
    <t xml:space="preserve">日均比年初</t>
  </si>
  <si>
    <t xml:space="preserve">本月新增</t>
  </si>
  <si>
    <t xml:space="preserve">本月到期</t>
  </si>
  <si>
    <t xml:space="preserve">同比增长率</t>
  </si>
  <si>
    <t xml:space="preserve">年度目标</t>
  </si>
  <si>
    <t xml:space="preserve">目标完成率</t>
  </si>
  <si>
    <t xml:space="preserve">风险等级</t>
  </si>
  <si>
    <t xml:space="preserve">1001</t>
  </si>
  <si>
    <t xml:space="preserve">总行营业部</t>
  </si>
  <si>
    <t xml:space="preserve">活期存款</t>
  </si>
  <si>
    <t xml:space="preserve">低</t>
  </si>
  <si>
    <t xml:space="preserve">1002</t>
  </si>
  <si>
    <t xml:space="preserve">城东支行</t>
  </si>
  <si>
    <t xml:space="preserve">定期存款</t>
  </si>
  <si>
    <t xml:space="preserve">1003</t>
  </si>
  <si>
    <t xml:space="preserve">城西支行</t>
  </si>
  <si>
    <t xml:space="preserve">中</t>
  </si>
  <si>
    <t xml:space="preserve">1004</t>
  </si>
  <si>
    <t xml:space="preserve">城南支行</t>
  </si>
  <si>
    <t xml:space="preserve">通知存款</t>
  </si>
  <si>
    <t xml:space="preserve">1005</t>
  </si>
  <si>
    <t xml:space="preserve">城北支行</t>
  </si>
  <si>
    <t xml:space="preserve">1006</t>
  </si>
  <si>
    <t xml:space="preserve">开发区支行</t>
  </si>
  <si>
    <t xml:space="preserve">1007</t>
  </si>
  <si>
    <t xml:space="preserve">高新区支行</t>
  </si>
  <si>
    <t xml:space="preserve">1008</t>
  </si>
  <si>
    <t xml:space="preserve">滨海支行</t>
  </si>
  <si>
    <t xml:space="preserve">1009</t>
  </si>
  <si>
    <t xml:space="preserve">商贸区支行</t>
  </si>
  <si>
    <t xml:space="preserve">1010</t>
  </si>
  <si>
    <t xml:space="preserve">科技园支行</t>
  </si>
  <si>
    <t xml:space="preserve">1011</t>
  </si>
  <si>
    <t xml:space="preserve">工业园区支行</t>
  </si>
  <si>
    <t xml:space="preserve">1012</t>
  </si>
  <si>
    <t xml:space="preserve">新城支行</t>
  </si>
  <si>
    <t xml:space="preserve">1013</t>
  </si>
  <si>
    <t xml:space="preserve">高铁新城支行</t>
  </si>
  <si>
    <t xml:space="preserve">1014</t>
  </si>
  <si>
    <t xml:space="preserve">自贸区支行</t>
  </si>
  <si>
    <t xml:space="preserve">1015</t>
  </si>
  <si>
    <t xml:space="preserve">老城区支行</t>
  </si>
  <si>
    <t xml:space="preserve">高</t>
  </si>
  <si>
    <t xml:space="preserve">合  计</t>
  </si>
  <si>
    <t xml:space="preserve">公司存款汇总分析</t>
  </si>
  <si>
    <t xml:space="preserve">一、按存款类型汇总</t>
  </si>
  <si>
    <t xml:space="preserve">机构数量</t>
  </si>
  <si>
    <t xml:space="preserve">时点余额合计</t>
  </si>
  <si>
    <t xml:space="preserve">日均余额合计</t>
  </si>
  <si>
    <t xml:space="preserve">本月新增合计</t>
  </si>
  <si>
    <t xml:space="preserve">合计</t>
  </si>
  <si>
    <r>
      <rPr>
        <b val="true"/>
        <sz val="12"/>
        <color rgb="FF1F3864"/>
        <rFont val="Noto Sans CJK SC"/>
        <family val="2"/>
      </rPr>
      <t xml:space="preserve">二、机构时点余额排名 </t>
    </r>
    <r>
      <rPr>
        <b val="true"/>
        <sz val="12"/>
        <color rgb="FF1F3864"/>
        <rFont val="Arial"/>
        <family val="0"/>
        <charset val="1"/>
      </rPr>
      <t xml:space="preserve">TOP10</t>
    </r>
  </si>
  <si>
    <t xml:space="preserve">排名</t>
  </si>
  <si>
    <r>
      <rPr>
        <b val="true"/>
        <sz val="11"/>
        <color rgb="FFFFFFFF"/>
        <rFont val="Noto Sans CJK SC"/>
        <family val="2"/>
      </rPr>
      <t xml:space="preserve">时点余额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万元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</si>
  <si>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三、关键指标看板</t>
  </si>
  <si>
    <t xml:space="preserve">全行时点余额合计</t>
  </si>
  <si>
    <t xml:space="preserve">全行日均余额合计</t>
  </si>
  <si>
    <t xml:space="preserve">全行本月新增合计</t>
  </si>
  <si>
    <t xml:space="preserve">全行本月到期合计</t>
  </si>
  <si>
    <t xml:space="preserve">平均同比增长率</t>
  </si>
  <si>
    <t xml:space="preserve">全行平均目标完成率</t>
  </si>
  <si>
    <t xml:space="preserve">四、风险等级分布</t>
  </si>
  <si>
    <t xml:space="preserve">占比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</si>
</sst>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0.5"/>
      <name val="Arial"/>
      <family val="0"/>
      <charset val="1"/>
    </font>
    <font>
      <sz val="10.5"/>
      <name val="Noto Sans CJK SC"/>
      <family val="2"/>
    </font>
    <font>
      <b val="true"/>
      <sz val="11"/>
      <color rgb="FF1F2937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2"/>
      <color rgb="FF1F3864"/>
      <name val="Noto Sans CJK SC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Noto Sans CJK SC"/>
      <family val="2"/>
    </font>
    <font>
      <b val="true"/>
      <sz val="11"/>
      <color rgb="FF1F3867"/>
      <name val="Noto Sans CJK SC"/>
      <family val="2"/>
    </font>
    <font>
      <b val="true"/>
      <sz val="13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B5797"/>
        <bgColor rgb="FF1F3867"/>
      </patternFill>
    </fill>
    <fill>
      <patternFill patternType="solid">
        <fgColor rgb="FF1F3864"/>
        <bgColor rgb="FF1F3867"/>
      </patternFill>
    </fill>
    <fill>
      <patternFill patternType="solid">
        <fgColor rgb="FFFFFFFF"/>
        <bgColor rgb="FFF7F9FC"/>
      </patternFill>
    </fill>
    <fill>
      <patternFill patternType="solid">
        <fgColor rgb="FFEAF2FF"/>
        <bgColor rgb="FFE8EDF5"/>
      </patternFill>
    </fill>
    <fill>
      <patternFill patternType="solid">
        <fgColor rgb="FFE2EFDA"/>
        <bgColor rgb="FFE8EDF5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E8EDF5"/>
      </patternFill>
    </fill>
    <fill>
      <patternFill patternType="solid">
        <fgColor rgb="FFE8EDF5"/>
        <bgColor rgb="FFEA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  <sz val="10"/>
      </font>
      <fill>
        <patternFill>
          <bgColor rgb="FFE2EFDA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CE4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FF2CC"/>
      <rgbColor rgb="FFEAF2FF"/>
      <rgbColor rgb="FF660066"/>
      <rgbColor rgb="FFFF8080"/>
      <rgbColor rgb="FF2B5797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5"/>
      <rgbColor rgb="FFE2EFDA"/>
      <rgbColor rgb="FFF7F9FC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7"/>
      <rgbColor rgb="FF339966"/>
      <rgbColor rgb="FF003300"/>
      <rgbColor rgb="FF333300"/>
      <rgbColor rgb="FF993300"/>
      <rgbColor rgb="FF993366"/>
      <rgbColor rgb="FF1F3864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13" min="9" style="0" width="14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15" hidden="false" customHeight="false" outlineLevel="0" collapsed="false">
      <c r="A4" s="4" t="s">
        <v>19</v>
      </c>
      <c r="B4" s="5" t="s">
        <v>20</v>
      </c>
      <c r="C4" s="6" t="s">
        <v>21</v>
      </c>
      <c r="D4" s="7" t="n">
        <v>285600.5</v>
      </c>
      <c r="E4" s="8" t="n">
        <v>1200</v>
      </c>
      <c r="F4" s="8" t="n">
        <v>8500</v>
      </c>
      <c r="G4" s="8" t="n">
        <v>32000</v>
      </c>
      <c r="H4" s="7" t="n">
        <v>278900.3</v>
      </c>
      <c r="I4" s="8" t="n">
        <v>980</v>
      </c>
      <c r="J4" s="8" t="n">
        <v>7200</v>
      </c>
      <c r="K4" s="8" t="n">
        <v>28500</v>
      </c>
      <c r="L4" s="8" t="n">
        <v>5600</v>
      </c>
      <c r="M4" s="8" t="n">
        <v>3200</v>
      </c>
      <c r="N4" s="9" t="n">
        <v>0.085</v>
      </c>
      <c r="O4" s="8" t="n">
        <v>350000</v>
      </c>
      <c r="P4" s="9" t="n">
        <f aca="false">IF(O4=0,"-",D4/O4)</f>
        <v>0.816001428571428</v>
      </c>
      <c r="Q4" s="10" t="s">
        <v>22</v>
      </c>
    </row>
    <row r="5" customFormat="false" ht="15" hidden="false" customHeight="false" outlineLevel="0" collapsed="false">
      <c r="A5" s="11" t="s">
        <v>23</v>
      </c>
      <c r="B5" s="12" t="s">
        <v>24</v>
      </c>
      <c r="C5" s="13" t="s">
        <v>25</v>
      </c>
      <c r="D5" s="7" t="n">
        <v>198500</v>
      </c>
      <c r="E5" s="14" t="n">
        <v>-800</v>
      </c>
      <c r="F5" s="14" t="n">
        <v>4200</v>
      </c>
      <c r="G5" s="14" t="n">
        <v>18000</v>
      </c>
      <c r="H5" s="7" t="n">
        <v>192300</v>
      </c>
      <c r="I5" s="14" t="n">
        <v>-500</v>
      </c>
      <c r="J5" s="14" t="n">
        <v>3800</v>
      </c>
      <c r="K5" s="14" t="n">
        <v>16500</v>
      </c>
      <c r="L5" s="14" t="n">
        <v>8200</v>
      </c>
      <c r="M5" s="14" t="n">
        <v>5100</v>
      </c>
      <c r="N5" s="15" t="n">
        <v>0.062</v>
      </c>
      <c r="O5" s="14" t="n">
        <v>220000</v>
      </c>
      <c r="P5" s="15" t="n">
        <f aca="false">IF(O5=0,"-",D5/O5)</f>
        <v>0.902272727272727</v>
      </c>
      <c r="Q5" s="10" t="s">
        <v>22</v>
      </c>
    </row>
    <row r="6" customFormat="false" ht="15" hidden="false" customHeight="false" outlineLevel="0" collapsed="false">
      <c r="A6" s="4" t="s">
        <v>26</v>
      </c>
      <c r="B6" s="5" t="s">
        <v>27</v>
      </c>
      <c r="C6" s="6" t="s">
        <v>21</v>
      </c>
      <c r="D6" s="7" t="n">
        <v>156800.75</v>
      </c>
      <c r="E6" s="8" t="n">
        <v>3500</v>
      </c>
      <c r="F6" s="8" t="n">
        <v>6800</v>
      </c>
      <c r="G6" s="8" t="n">
        <v>-5200</v>
      </c>
      <c r="H6" s="7" t="n">
        <v>151200.5</v>
      </c>
      <c r="I6" s="8" t="n">
        <v>2800</v>
      </c>
      <c r="J6" s="8" t="n">
        <v>5500</v>
      </c>
      <c r="K6" s="8" t="n">
        <v>-4800</v>
      </c>
      <c r="L6" s="8" t="n">
        <v>4300</v>
      </c>
      <c r="M6" s="8" t="n">
        <v>2800</v>
      </c>
      <c r="N6" s="9" t="n">
        <v>-0.032</v>
      </c>
      <c r="O6" s="8" t="n">
        <v>170000</v>
      </c>
      <c r="P6" s="9" t="n">
        <f aca="false">IF(O6=0,"-",D6/O6)</f>
        <v>0.922357352941176</v>
      </c>
      <c r="Q6" s="16" t="s">
        <v>28</v>
      </c>
    </row>
    <row r="7" customFormat="false" ht="15" hidden="false" customHeight="false" outlineLevel="0" collapsed="false">
      <c r="A7" s="11" t="s">
        <v>29</v>
      </c>
      <c r="B7" s="12" t="s">
        <v>30</v>
      </c>
      <c r="C7" s="13" t="s">
        <v>31</v>
      </c>
      <c r="D7" s="7" t="n">
        <v>89200</v>
      </c>
      <c r="E7" s="14" t="n">
        <v>600</v>
      </c>
      <c r="F7" s="14" t="n">
        <v>2100</v>
      </c>
      <c r="G7" s="14" t="n">
        <v>9500</v>
      </c>
      <c r="H7" s="7" t="n">
        <v>87600</v>
      </c>
      <c r="I7" s="14" t="n">
        <v>450</v>
      </c>
      <c r="J7" s="14" t="n">
        <v>1800</v>
      </c>
      <c r="K7" s="14" t="n">
        <v>8200</v>
      </c>
      <c r="L7" s="14" t="n">
        <v>3100</v>
      </c>
      <c r="M7" s="14" t="n">
        <v>1900</v>
      </c>
      <c r="N7" s="15" t="n">
        <v>0.112</v>
      </c>
      <c r="O7" s="14" t="n">
        <v>100000</v>
      </c>
      <c r="P7" s="15" t="n">
        <f aca="false">IF(O7=0,"-",D7/O7)</f>
        <v>0.892</v>
      </c>
      <c r="Q7" s="10" t="s">
        <v>22</v>
      </c>
    </row>
    <row r="8" customFormat="false" ht="15" hidden="false" customHeight="false" outlineLevel="0" collapsed="false">
      <c r="A8" s="4" t="s">
        <v>32</v>
      </c>
      <c r="B8" s="5" t="s">
        <v>33</v>
      </c>
      <c r="C8" s="6" t="s">
        <v>21</v>
      </c>
      <c r="D8" s="7" t="n">
        <v>132400.3</v>
      </c>
      <c r="E8" s="8" t="n">
        <v>-1500</v>
      </c>
      <c r="F8" s="8" t="n">
        <v>-1200</v>
      </c>
      <c r="G8" s="8" t="n">
        <v>7500</v>
      </c>
      <c r="H8" s="7" t="n">
        <v>128900</v>
      </c>
      <c r="I8" s="8" t="n">
        <v>-1200</v>
      </c>
      <c r="J8" s="8" t="n">
        <v>-800</v>
      </c>
      <c r="K8" s="8" t="n">
        <v>6800</v>
      </c>
      <c r="L8" s="8" t="n">
        <v>2800</v>
      </c>
      <c r="M8" s="8" t="n">
        <v>4500</v>
      </c>
      <c r="N8" s="9" t="n">
        <v>0.058</v>
      </c>
      <c r="O8" s="8" t="n">
        <v>150000</v>
      </c>
      <c r="P8" s="9" t="n">
        <f aca="false">IF(O8=0,"-",D8/O8)</f>
        <v>0.882668666666667</v>
      </c>
      <c r="Q8" s="16" t="s">
        <v>28</v>
      </c>
    </row>
    <row r="9" customFormat="false" ht="15" hidden="false" customHeight="false" outlineLevel="0" collapsed="false">
      <c r="A9" s="11" t="s">
        <v>34</v>
      </c>
      <c r="B9" s="12" t="s">
        <v>35</v>
      </c>
      <c r="C9" s="13" t="s">
        <v>25</v>
      </c>
      <c r="D9" s="7" t="n">
        <v>215000</v>
      </c>
      <c r="E9" s="14" t="n">
        <v>2800</v>
      </c>
      <c r="F9" s="14" t="n">
        <v>12000</v>
      </c>
      <c r="G9" s="14" t="n">
        <v>45000</v>
      </c>
      <c r="H9" s="7" t="n">
        <v>208500</v>
      </c>
      <c r="I9" s="14" t="n">
        <v>2200</v>
      </c>
      <c r="J9" s="14" t="n">
        <v>10500</v>
      </c>
      <c r="K9" s="14" t="n">
        <v>38000</v>
      </c>
      <c r="L9" s="14" t="n">
        <v>12000</v>
      </c>
      <c r="M9" s="14" t="n">
        <v>6800</v>
      </c>
      <c r="N9" s="15" t="n">
        <v>0.145</v>
      </c>
      <c r="O9" s="14" t="n">
        <v>250000</v>
      </c>
      <c r="P9" s="15" t="n">
        <f aca="false">IF(O9=0,"-",D9/O9)</f>
        <v>0.86</v>
      </c>
      <c r="Q9" s="10" t="s">
        <v>22</v>
      </c>
    </row>
    <row r="10" customFormat="false" ht="15" hidden="false" customHeight="false" outlineLevel="0" collapsed="false">
      <c r="A10" s="4" t="s">
        <v>36</v>
      </c>
      <c r="B10" s="5" t="s">
        <v>37</v>
      </c>
      <c r="C10" s="6" t="s">
        <v>21</v>
      </c>
      <c r="D10" s="7" t="n">
        <v>95800.5</v>
      </c>
      <c r="E10" s="8" t="n">
        <v>900</v>
      </c>
      <c r="F10" s="8" t="n">
        <v>3500</v>
      </c>
      <c r="G10" s="8" t="n">
        <v>12000</v>
      </c>
      <c r="H10" s="7" t="n">
        <v>93200</v>
      </c>
      <c r="I10" s="8" t="n">
        <v>700</v>
      </c>
      <c r="J10" s="8" t="n">
        <v>3000</v>
      </c>
      <c r="K10" s="8" t="n">
        <v>10500</v>
      </c>
      <c r="L10" s="8" t="n">
        <v>2200</v>
      </c>
      <c r="M10" s="8" t="n">
        <v>1500</v>
      </c>
      <c r="N10" s="9" t="n">
        <v>0.098</v>
      </c>
      <c r="O10" s="8" t="n">
        <v>110000</v>
      </c>
      <c r="P10" s="9" t="n">
        <f aca="false">IF(O10=0,"-",D10/O10)</f>
        <v>0.870913636363636</v>
      </c>
      <c r="Q10" s="10" t="s">
        <v>22</v>
      </c>
    </row>
    <row r="11" customFormat="false" ht="15" hidden="false" customHeight="false" outlineLevel="0" collapsed="false">
      <c r="A11" s="11" t="s">
        <v>38</v>
      </c>
      <c r="B11" s="12" t="s">
        <v>39</v>
      </c>
      <c r="C11" s="13" t="s">
        <v>25</v>
      </c>
      <c r="D11" s="7" t="n">
        <v>178900</v>
      </c>
      <c r="E11" s="14" t="n">
        <v>-2200</v>
      </c>
      <c r="F11" s="14" t="n">
        <v>5800</v>
      </c>
      <c r="G11" s="14" t="n">
        <v>22000</v>
      </c>
      <c r="H11" s="7" t="n">
        <v>172600</v>
      </c>
      <c r="I11" s="14" t="n">
        <v>-1800</v>
      </c>
      <c r="J11" s="14" t="n">
        <v>4500</v>
      </c>
      <c r="K11" s="14" t="n">
        <v>19000</v>
      </c>
      <c r="L11" s="14" t="n">
        <v>6500</v>
      </c>
      <c r="M11" s="14" t="n">
        <v>8200</v>
      </c>
      <c r="N11" s="15" t="n">
        <v>0.075</v>
      </c>
      <c r="O11" s="14" t="n">
        <v>200000</v>
      </c>
      <c r="P11" s="15" t="n">
        <f aca="false">IF(O11=0,"-",D11/O11)</f>
        <v>0.8945</v>
      </c>
      <c r="Q11" s="16" t="s">
        <v>28</v>
      </c>
    </row>
    <row r="12" customFormat="false" ht="15" hidden="false" customHeight="false" outlineLevel="0" collapsed="false">
      <c r="A12" s="4" t="s">
        <v>40</v>
      </c>
      <c r="B12" s="5" t="s">
        <v>41</v>
      </c>
      <c r="C12" s="6" t="s">
        <v>21</v>
      </c>
      <c r="D12" s="7" t="n">
        <v>112500.8</v>
      </c>
      <c r="E12" s="8" t="n">
        <v>1800</v>
      </c>
      <c r="F12" s="8" t="n">
        <v>7200</v>
      </c>
      <c r="G12" s="8" t="n">
        <v>15000</v>
      </c>
      <c r="H12" s="7" t="n">
        <v>108900</v>
      </c>
      <c r="I12" s="8" t="n">
        <v>1500</v>
      </c>
      <c r="J12" s="8" t="n">
        <v>6000</v>
      </c>
      <c r="K12" s="8" t="n">
        <v>13000</v>
      </c>
      <c r="L12" s="8" t="n">
        <v>3800</v>
      </c>
      <c r="M12" s="8" t="n">
        <v>2100</v>
      </c>
      <c r="N12" s="9" t="n">
        <v>0.128</v>
      </c>
      <c r="O12" s="8" t="n">
        <v>130000</v>
      </c>
      <c r="P12" s="9" t="n">
        <f aca="false">IF(O12=0,"-",D12/O12)</f>
        <v>0.865390769230769</v>
      </c>
      <c r="Q12" s="10" t="s">
        <v>22</v>
      </c>
    </row>
    <row r="13" customFormat="false" ht="15" hidden="false" customHeight="false" outlineLevel="0" collapsed="false">
      <c r="A13" s="11" t="s">
        <v>42</v>
      </c>
      <c r="B13" s="12" t="s">
        <v>43</v>
      </c>
      <c r="C13" s="13" t="s">
        <v>31</v>
      </c>
      <c r="D13" s="7" t="n">
        <v>76300</v>
      </c>
      <c r="E13" s="14" t="n">
        <v>400</v>
      </c>
      <c r="F13" s="14" t="n">
        <v>1800</v>
      </c>
      <c r="G13" s="14" t="n">
        <v>8500</v>
      </c>
      <c r="H13" s="7" t="n">
        <v>74500</v>
      </c>
      <c r="I13" s="14" t="n">
        <v>300</v>
      </c>
      <c r="J13" s="14" t="n">
        <v>1500</v>
      </c>
      <c r="K13" s="14" t="n">
        <v>7200</v>
      </c>
      <c r="L13" s="14" t="n">
        <v>1900</v>
      </c>
      <c r="M13" s="14" t="n">
        <v>1200</v>
      </c>
      <c r="N13" s="15" t="n">
        <v>0.092</v>
      </c>
      <c r="O13" s="14" t="n">
        <v>85000</v>
      </c>
      <c r="P13" s="15" t="n">
        <f aca="false">IF(O13=0,"-",D13/O13)</f>
        <v>0.897647058823529</v>
      </c>
      <c r="Q13" s="10" t="s">
        <v>22</v>
      </c>
    </row>
    <row r="14" customFormat="false" ht="15" hidden="false" customHeight="false" outlineLevel="0" collapsed="false">
      <c r="A14" s="4" t="s">
        <v>44</v>
      </c>
      <c r="B14" s="5" t="s">
        <v>45</v>
      </c>
      <c r="C14" s="6" t="s">
        <v>25</v>
      </c>
      <c r="D14" s="7" t="n">
        <v>245000</v>
      </c>
      <c r="E14" s="8" t="n">
        <v>5200</v>
      </c>
      <c r="F14" s="8" t="n">
        <v>15000</v>
      </c>
      <c r="G14" s="8" t="n">
        <v>58000</v>
      </c>
      <c r="H14" s="7" t="n">
        <v>238000</v>
      </c>
      <c r="I14" s="8" t="n">
        <v>4500</v>
      </c>
      <c r="J14" s="8" t="n">
        <v>13200</v>
      </c>
      <c r="K14" s="8" t="n">
        <v>50000</v>
      </c>
      <c r="L14" s="8" t="n">
        <v>15000</v>
      </c>
      <c r="M14" s="8" t="n">
        <v>9500</v>
      </c>
      <c r="N14" s="9" t="n">
        <v>0.168</v>
      </c>
      <c r="O14" s="8" t="n">
        <v>280000</v>
      </c>
      <c r="P14" s="9" t="n">
        <f aca="false">IF(O14=0,"-",D14/O14)</f>
        <v>0.875</v>
      </c>
      <c r="Q14" s="10" t="s">
        <v>22</v>
      </c>
    </row>
    <row r="15" customFormat="false" ht="15" hidden="false" customHeight="false" outlineLevel="0" collapsed="false">
      <c r="A15" s="11" t="s">
        <v>46</v>
      </c>
      <c r="B15" s="12" t="s">
        <v>47</v>
      </c>
      <c r="C15" s="13" t="s">
        <v>21</v>
      </c>
      <c r="D15" s="7" t="n">
        <v>68900.5</v>
      </c>
      <c r="E15" s="14" t="n">
        <v>-600</v>
      </c>
      <c r="F15" s="14" t="n">
        <v>1200</v>
      </c>
      <c r="G15" s="14" t="n">
        <v>5800</v>
      </c>
      <c r="H15" s="7" t="n">
        <v>67200</v>
      </c>
      <c r="I15" s="14" t="n">
        <v>-400</v>
      </c>
      <c r="J15" s="14" t="n">
        <v>900</v>
      </c>
      <c r="K15" s="14" t="n">
        <v>5000</v>
      </c>
      <c r="L15" s="14" t="n">
        <v>1800</v>
      </c>
      <c r="M15" s="14" t="n">
        <v>2200</v>
      </c>
      <c r="N15" s="15" t="n">
        <v>0.045</v>
      </c>
      <c r="O15" s="14" t="n">
        <v>80000</v>
      </c>
      <c r="P15" s="15" t="n">
        <f aca="false">IF(O15=0,"-",D15/O15)</f>
        <v>0.86125625</v>
      </c>
      <c r="Q15" s="16" t="s">
        <v>28</v>
      </c>
    </row>
    <row r="16" customFormat="false" ht="15" hidden="false" customHeight="false" outlineLevel="0" collapsed="false">
      <c r="A16" s="4" t="s">
        <v>48</v>
      </c>
      <c r="B16" s="5" t="s">
        <v>49</v>
      </c>
      <c r="C16" s="6" t="s">
        <v>25</v>
      </c>
      <c r="D16" s="7" t="n">
        <v>135600</v>
      </c>
      <c r="E16" s="8" t="n">
        <v>1600</v>
      </c>
      <c r="F16" s="8" t="n">
        <v>8500</v>
      </c>
      <c r="G16" s="8" t="n">
        <v>28000</v>
      </c>
      <c r="H16" s="7" t="n">
        <v>131200</v>
      </c>
      <c r="I16" s="8" t="n">
        <v>1200</v>
      </c>
      <c r="J16" s="8" t="n">
        <v>7200</v>
      </c>
      <c r="K16" s="8" t="n">
        <v>24000</v>
      </c>
      <c r="L16" s="8" t="n">
        <v>5800</v>
      </c>
      <c r="M16" s="8" t="n">
        <v>3500</v>
      </c>
      <c r="N16" s="9" t="n">
        <v>0.108</v>
      </c>
      <c r="O16" s="8" t="n">
        <v>160000</v>
      </c>
      <c r="P16" s="9" t="n">
        <f aca="false">IF(O16=0,"-",D16/O16)</f>
        <v>0.8475</v>
      </c>
      <c r="Q16" s="10" t="s">
        <v>22</v>
      </c>
    </row>
    <row r="17" customFormat="false" ht="15" hidden="false" customHeight="false" outlineLevel="0" collapsed="false">
      <c r="A17" s="11" t="s">
        <v>50</v>
      </c>
      <c r="B17" s="12" t="s">
        <v>51</v>
      </c>
      <c r="C17" s="13" t="s">
        <v>21</v>
      </c>
      <c r="D17" s="7" t="n">
        <v>189200</v>
      </c>
      <c r="E17" s="14" t="n">
        <v>3200</v>
      </c>
      <c r="F17" s="14" t="n">
        <v>11000</v>
      </c>
      <c r="G17" s="14" t="n">
        <v>42000</v>
      </c>
      <c r="H17" s="7" t="n">
        <v>183500</v>
      </c>
      <c r="I17" s="14" t="n">
        <v>2600</v>
      </c>
      <c r="J17" s="14" t="n">
        <v>9500</v>
      </c>
      <c r="K17" s="14" t="n">
        <v>36000</v>
      </c>
      <c r="L17" s="14" t="n">
        <v>9200</v>
      </c>
      <c r="M17" s="14" t="n">
        <v>5800</v>
      </c>
      <c r="N17" s="15" t="n">
        <v>0.155</v>
      </c>
      <c r="O17" s="14" t="n">
        <v>220000</v>
      </c>
      <c r="P17" s="15" t="n">
        <f aca="false">IF(O17=0,"-",D17/O17)</f>
        <v>0.86</v>
      </c>
      <c r="Q17" s="10" t="s">
        <v>22</v>
      </c>
    </row>
    <row r="18" customFormat="false" ht="15" hidden="false" customHeight="false" outlineLevel="0" collapsed="false">
      <c r="A18" s="4" t="s">
        <v>52</v>
      </c>
      <c r="B18" s="5" t="s">
        <v>53</v>
      </c>
      <c r="C18" s="6" t="s">
        <v>31</v>
      </c>
      <c r="D18" s="7" t="n">
        <v>52800</v>
      </c>
      <c r="E18" s="8" t="n">
        <v>-300</v>
      </c>
      <c r="F18" s="8" t="n">
        <v>800</v>
      </c>
      <c r="G18" s="8" t="n">
        <v>3200</v>
      </c>
      <c r="H18" s="7" t="n">
        <v>51200</v>
      </c>
      <c r="I18" s="8" t="n">
        <v>-200</v>
      </c>
      <c r="J18" s="8" t="n">
        <v>600</v>
      </c>
      <c r="K18" s="8" t="n">
        <v>2800</v>
      </c>
      <c r="L18" s="8" t="n">
        <v>1200</v>
      </c>
      <c r="M18" s="8" t="n">
        <v>1800</v>
      </c>
      <c r="N18" s="9" t="n">
        <v>0.028</v>
      </c>
      <c r="O18" s="8" t="n">
        <v>60000</v>
      </c>
      <c r="P18" s="9" t="n">
        <f aca="false">IF(O18=0,"-",D18/O18)</f>
        <v>0.88</v>
      </c>
      <c r="Q18" s="17" t="s">
        <v>54</v>
      </c>
    </row>
    <row r="19" customFormat="false" ht="15" hidden="false" customHeight="false" outlineLevel="0" collapsed="false">
      <c r="A19" s="18"/>
      <c r="B19" s="19" t="s">
        <v>55</v>
      </c>
      <c r="C19" s="18"/>
      <c r="D19" s="20" t="n">
        <f aca="false">SUM(D4:D18)</f>
        <v>2232503.35</v>
      </c>
      <c r="E19" s="20" t="n">
        <f aca="false">SUM(E4:E18)</f>
        <v>15800</v>
      </c>
      <c r="F19" s="20" t="n">
        <f aca="false">SUM(F4:F18)</f>
        <v>87200</v>
      </c>
      <c r="G19" s="20" t="n">
        <f aca="false">SUM(G4:G18)</f>
        <v>301300</v>
      </c>
      <c r="H19" s="20" t="n">
        <f aca="false">SUM(H4:H18)</f>
        <v>2167700.8</v>
      </c>
      <c r="I19" s="20" t="n">
        <f aca="false">SUM(I4:I18)</f>
        <v>13130</v>
      </c>
      <c r="J19" s="20" t="n">
        <f aca="false">SUM(J4:J18)</f>
        <v>74400</v>
      </c>
      <c r="K19" s="20" t="n">
        <f aca="false">SUM(K4:K18)</f>
        <v>260700</v>
      </c>
      <c r="L19" s="20" t="n">
        <f aca="false">SUM(L4:L18)</f>
        <v>83400</v>
      </c>
      <c r="M19" s="20" t="n">
        <f aca="false">SUM(M4:M18)</f>
        <v>60100</v>
      </c>
      <c r="N19" s="21" t="n">
        <f aca="false">SUM(N4:N18)</f>
        <v>1.327</v>
      </c>
      <c r="O19" s="20" t="n">
        <f aca="false">SUM(O4:O18)</f>
        <v>2565000</v>
      </c>
      <c r="P19" s="21" t="n">
        <f aca="false">IF(O19=0,"-",D19/O19)</f>
        <v>0.870371676413255</v>
      </c>
      <c r="Q19" s="18"/>
    </row>
  </sheetData>
  <mergeCells count="2">
    <mergeCell ref="A1:Q1"/>
    <mergeCell ref="A2:Q2"/>
  </mergeCells>
  <conditionalFormatting sqref="E4:E1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F4:F18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G4:G1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I4:I18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J4:J18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K4:K18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L4:L18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M4:M18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6" min="6" style="0" width="14"/>
  </cols>
  <sheetData>
    <row r="1" customFormat="false" ht="37.5" hidden="false" customHeight="true" outlineLevel="0" collapsed="false">
      <c r="A1" s="1" t="s">
        <v>56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2" t="s">
        <v>57</v>
      </c>
      <c r="B3" s="22"/>
      <c r="C3" s="22"/>
      <c r="D3" s="22"/>
      <c r="E3" s="22"/>
      <c r="F3" s="22"/>
    </row>
    <row r="4" customFormat="false" ht="15" hidden="false" customHeight="false" outlineLevel="0" collapsed="false">
      <c r="A4" s="3" t="s">
        <v>4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17</v>
      </c>
    </row>
    <row r="5" customFormat="false" ht="15" hidden="false" customHeight="false" outlineLevel="0" collapsed="false">
      <c r="A5" s="6" t="s">
        <v>21</v>
      </c>
      <c r="B5" s="4" t="n">
        <f aca="false">COUNTIF(公司存款明细!C:C,A5)</f>
        <v>7</v>
      </c>
      <c r="C5" s="8" t="n">
        <f aca="false">SUMIF(公司存款明细!C:C,A5,公司存款明细!D:D)</f>
        <v>1041203.35</v>
      </c>
      <c r="D5" s="8" t="n">
        <f aca="false">SUMIF(公司存款明细!C:C,A5,公司存款明细!H:H)</f>
        <v>1011800.8</v>
      </c>
      <c r="E5" s="8" t="n">
        <f aca="false">SUMIF(公司存款明细!C:C,A5,公司存款明细!L:L)</f>
        <v>29700</v>
      </c>
      <c r="F5" s="9" t="n">
        <f aca="false">IF(SUMIF(公司存款明细!C:C,A5,公司存款明细!O:O)=0,"-",C5/SUMIF(公司存款明细!C:C,A5,公司存款明细!O:O))</f>
        <v>0.860498636363636</v>
      </c>
    </row>
    <row r="6" customFormat="false" ht="15" hidden="false" customHeight="false" outlineLevel="0" collapsed="false">
      <c r="A6" s="13" t="s">
        <v>25</v>
      </c>
      <c r="B6" s="11" t="n">
        <f aca="false">COUNTIF(公司存款明细!C:C,A6)</f>
        <v>5</v>
      </c>
      <c r="C6" s="14" t="n">
        <f aca="false">SUMIF(公司存款明细!C:C,A6,公司存款明细!D:D)</f>
        <v>973000</v>
      </c>
      <c r="D6" s="14" t="n">
        <f aca="false">SUMIF(公司存款明细!C:C,A6,公司存款明细!H:H)</f>
        <v>942600</v>
      </c>
      <c r="E6" s="14" t="n">
        <f aca="false">SUMIF(公司存款明细!C:C,A6,公司存款明细!L:L)</f>
        <v>47500</v>
      </c>
      <c r="F6" s="15" t="n">
        <f aca="false">IF(SUMIF(公司存款明细!C:C,A6,公司存款明细!O:O)=0,"-",C6/SUMIF(公司存款明细!C:C,A6,公司存款明细!O:O))</f>
        <v>0.876576576576577</v>
      </c>
    </row>
    <row r="7" customFormat="false" ht="15" hidden="false" customHeight="false" outlineLevel="0" collapsed="false">
      <c r="A7" s="6" t="s">
        <v>31</v>
      </c>
      <c r="B7" s="4" t="n">
        <f aca="false">COUNTIF(公司存款明细!C:C,A7)</f>
        <v>3</v>
      </c>
      <c r="C7" s="8" t="n">
        <f aca="false">SUMIF(公司存款明细!C:C,A7,公司存款明细!D:D)</f>
        <v>218300</v>
      </c>
      <c r="D7" s="8" t="n">
        <f aca="false">SUMIF(公司存款明细!C:C,A7,公司存款明细!H:H)</f>
        <v>213300</v>
      </c>
      <c r="E7" s="8" t="n">
        <f aca="false">SUMIF(公司存款明细!C:C,A7,公司存款明细!L:L)</f>
        <v>6200</v>
      </c>
      <c r="F7" s="9" t="n">
        <f aca="false">IF(SUMIF(公司存款明细!C:C,A7,公司存款明细!O:O)=0,"-",C7/SUMIF(公司存款明细!C:C,A7,公司存款明细!O:O))</f>
        <v>0.891020408163265</v>
      </c>
    </row>
    <row r="8" customFormat="false" ht="15" hidden="false" customHeight="false" outlineLevel="0" collapsed="false">
      <c r="A8" s="19" t="s">
        <v>62</v>
      </c>
      <c r="B8" s="19" t="n">
        <f aca="false">SUM(B5:B7)</f>
        <v>15</v>
      </c>
      <c r="C8" s="20" t="n">
        <f aca="false">SUM(C5:C7)</f>
        <v>2232503.35</v>
      </c>
      <c r="D8" s="20" t="n">
        <f aca="false">SUM(D5:D7)</f>
        <v>2167700.8</v>
      </c>
      <c r="E8" s="20" t="n">
        <f aca="false">SUM(E5:E7)</f>
        <v>83400</v>
      </c>
      <c r="F8" s="21" t="n">
        <f aca="false">IF(SUM(E5:E7)=0,"-",C8/SUM(公司存款明细!O:O))</f>
        <v>0.435185838206628</v>
      </c>
    </row>
    <row r="10" customFormat="false" ht="15" hidden="false" customHeight="false" outlineLevel="0" collapsed="false">
      <c r="A10" s="22" t="s">
        <v>63</v>
      </c>
      <c r="B10" s="22"/>
      <c r="C10" s="22"/>
      <c r="D10" s="22"/>
      <c r="E10" s="22"/>
      <c r="F10" s="22"/>
    </row>
    <row r="11" customFormat="false" ht="15" hidden="false" customHeight="false" outlineLevel="0" collapsed="false">
      <c r="A11" s="3" t="s">
        <v>64</v>
      </c>
      <c r="B11" s="3" t="s">
        <v>2</v>
      </c>
      <c r="C11" s="3" t="s">
        <v>3</v>
      </c>
      <c r="D11" s="3" t="s">
        <v>4</v>
      </c>
      <c r="E11" s="3" t="s">
        <v>65</v>
      </c>
      <c r="F11" s="3" t="s">
        <v>17</v>
      </c>
    </row>
    <row r="12" customFormat="false" ht="15" hidden="false" customHeight="false" outlineLevel="0" collapsed="false">
      <c r="A12" s="23" t="n">
        <v>1</v>
      </c>
      <c r="B12" s="23" t="n">
        <f aca="false">INDEX(公司存款明细!A:A,MATCH(LARGE(公司存款明细!D:D,1),公司存款明细!D:D,0))</f>
        <v>0</v>
      </c>
      <c r="C12" s="24" t="str">
        <f aca="false">INDEX(公司存款明细!B:B,MATCH(LARGE(公司存款明细!D:D,1),公司存款明细!D:D,0))</f>
        <v>合  计</v>
      </c>
      <c r="D12" s="23" t="n">
        <f aca="false">INDEX(公司存款明细!C:C,MATCH(LARGE(公司存款明细!D:D,1),公司存款明细!D:D,0))</f>
        <v>0</v>
      </c>
      <c r="E12" s="7" t="n">
        <f aca="false">LARGE(公司存款明细!D:D,1)</f>
        <v>2232503.35</v>
      </c>
      <c r="F12" s="25" t="n">
        <f aca="false">INDEX(公司存款明细!P:P,MATCH(LARGE(公司存款明细!D:D,1),公司存款明细!D:D,0))</f>
        <v>0.870371676413255</v>
      </c>
    </row>
    <row r="13" customFormat="false" ht="15" hidden="false" customHeight="false" outlineLevel="0" collapsed="false">
      <c r="A13" s="23" t="n">
        <v>2</v>
      </c>
      <c r="B13" s="23" t="str">
        <f aca="false">INDEX(公司存款明细!A:A,MATCH(LARGE(公司存款明细!D:D,2),公司存款明细!D:D,0))</f>
        <v>1001</v>
      </c>
      <c r="C13" s="24" t="str">
        <f aca="false">INDEX(公司存款明细!B:B,MATCH(LARGE(公司存款明细!D:D,2),公司存款明细!D:D,0))</f>
        <v>总行营业部</v>
      </c>
      <c r="D13" s="23" t="str">
        <f aca="false">INDEX(公司存款明细!C:C,MATCH(LARGE(公司存款明细!D:D,2),公司存款明细!D:D,0))</f>
        <v>活期存款</v>
      </c>
      <c r="E13" s="7" t="n">
        <f aca="false">LARGE(公司存款明细!D:D,2)</f>
        <v>285600.5</v>
      </c>
      <c r="F13" s="25" t="n">
        <f aca="false">INDEX(公司存款明细!P:P,MATCH(LARGE(公司存款明细!D:D,2),公司存款明细!D:D,0))</f>
        <v>0.816001428571428</v>
      </c>
    </row>
    <row r="14" customFormat="false" ht="15" hidden="false" customHeight="false" outlineLevel="0" collapsed="false">
      <c r="A14" s="23" t="n">
        <v>3</v>
      </c>
      <c r="B14" s="23" t="str">
        <f aca="false">INDEX(公司存款明细!A:A,MATCH(LARGE(公司存款明细!D:D,3),公司存款明细!D:D,0))</f>
        <v>1011</v>
      </c>
      <c r="C14" s="24" t="str">
        <f aca="false">INDEX(公司存款明细!B:B,MATCH(LARGE(公司存款明细!D:D,3),公司存款明细!D:D,0))</f>
        <v>工业园区支行</v>
      </c>
      <c r="D14" s="23" t="str">
        <f aca="false">INDEX(公司存款明细!C:C,MATCH(LARGE(公司存款明细!D:D,3),公司存款明细!D:D,0))</f>
        <v>定期存款</v>
      </c>
      <c r="E14" s="7" t="n">
        <f aca="false">LARGE(公司存款明细!D:D,3)</f>
        <v>245000</v>
      </c>
      <c r="F14" s="25" t="n">
        <f aca="false">INDEX(公司存款明细!P:P,MATCH(LARGE(公司存款明细!D:D,3),公司存款明细!D:D,0))</f>
        <v>0.875</v>
      </c>
    </row>
    <row r="15" customFormat="false" ht="15" hidden="false" customHeight="false" outlineLevel="0" collapsed="false">
      <c r="A15" s="11" t="n">
        <v>4</v>
      </c>
      <c r="B15" s="11" t="str">
        <f aca="false">INDEX(公司存款明细!A:A,MATCH(LARGE(公司存款明细!D:D,4),公司存款明细!D:D,0))</f>
        <v>1006</v>
      </c>
      <c r="C15" s="12" t="str">
        <f aca="false">INDEX(公司存款明细!B:B,MATCH(LARGE(公司存款明细!D:D,4),公司存款明细!D:D,0))</f>
        <v>开发区支行</v>
      </c>
      <c r="D15" s="11" t="str">
        <f aca="false">INDEX(公司存款明细!C:C,MATCH(LARGE(公司存款明细!D:D,4),公司存款明细!D:D,0))</f>
        <v>定期存款</v>
      </c>
      <c r="E15" s="14" t="n">
        <f aca="false">LARGE(公司存款明细!D:D,4)</f>
        <v>215000</v>
      </c>
      <c r="F15" s="15" t="n">
        <f aca="false">INDEX(公司存款明细!P:P,MATCH(LARGE(公司存款明细!D:D,4),公司存款明细!D:D,0))</f>
        <v>0.86</v>
      </c>
    </row>
    <row r="16" customFormat="false" ht="15" hidden="false" customHeight="false" outlineLevel="0" collapsed="false">
      <c r="A16" s="4" t="n">
        <v>5</v>
      </c>
      <c r="B16" s="4" t="str">
        <f aca="false">INDEX(公司存款明细!A:A,MATCH(LARGE(公司存款明细!D:D,5),公司存款明细!D:D,0))</f>
        <v>1002</v>
      </c>
      <c r="C16" s="5" t="str">
        <f aca="false">INDEX(公司存款明细!B:B,MATCH(LARGE(公司存款明细!D:D,5),公司存款明细!D:D,0))</f>
        <v>城东支行</v>
      </c>
      <c r="D16" s="4" t="str">
        <f aca="false">INDEX(公司存款明细!C:C,MATCH(LARGE(公司存款明细!D:D,5),公司存款明细!D:D,0))</f>
        <v>定期存款</v>
      </c>
      <c r="E16" s="8" t="n">
        <f aca="false">LARGE(公司存款明细!D:D,5)</f>
        <v>198500</v>
      </c>
      <c r="F16" s="9" t="n">
        <f aca="false">INDEX(公司存款明细!P:P,MATCH(LARGE(公司存款明细!D:D,5),公司存款明细!D:D,0))</f>
        <v>0.902272727272727</v>
      </c>
    </row>
    <row r="17" customFormat="false" ht="15" hidden="false" customHeight="false" outlineLevel="0" collapsed="false">
      <c r="A17" s="11" t="n">
        <v>6</v>
      </c>
      <c r="B17" s="11" t="str">
        <f aca="false">INDEX(公司存款明细!A:A,MATCH(LARGE(公司存款明细!D:D,6),公司存款明细!D:D,0))</f>
        <v>1014</v>
      </c>
      <c r="C17" s="12" t="str">
        <f aca="false">INDEX(公司存款明细!B:B,MATCH(LARGE(公司存款明细!D:D,6),公司存款明细!D:D,0))</f>
        <v>自贸区支行</v>
      </c>
      <c r="D17" s="11" t="str">
        <f aca="false">INDEX(公司存款明细!C:C,MATCH(LARGE(公司存款明细!D:D,6),公司存款明细!D:D,0))</f>
        <v>活期存款</v>
      </c>
      <c r="E17" s="14" t="n">
        <f aca="false">LARGE(公司存款明细!D:D,6)</f>
        <v>189200</v>
      </c>
      <c r="F17" s="15" t="n">
        <f aca="false">INDEX(公司存款明细!P:P,MATCH(LARGE(公司存款明细!D:D,6),公司存款明细!D:D,0))</f>
        <v>0.86</v>
      </c>
    </row>
    <row r="18" customFormat="false" ht="15" hidden="false" customHeight="false" outlineLevel="0" collapsed="false">
      <c r="A18" s="4" t="n">
        <v>7</v>
      </c>
      <c r="B18" s="4" t="str">
        <f aca="false">INDEX(公司存款明细!A:A,MATCH(LARGE(公司存款明细!D:D,7),公司存款明细!D:D,0))</f>
        <v>1008</v>
      </c>
      <c r="C18" s="5" t="str">
        <f aca="false">INDEX(公司存款明细!B:B,MATCH(LARGE(公司存款明细!D:D,7),公司存款明细!D:D,0))</f>
        <v>滨海支行</v>
      </c>
      <c r="D18" s="4" t="str">
        <f aca="false">INDEX(公司存款明细!C:C,MATCH(LARGE(公司存款明细!D:D,7),公司存款明细!D:D,0))</f>
        <v>定期存款</v>
      </c>
      <c r="E18" s="8" t="n">
        <f aca="false">LARGE(公司存款明细!D:D,7)</f>
        <v>178900</v>
      </c>
      <c r="F18" s="9" t="n">
        <f aca="false">INDEX(公司存款明细!P:P,MATCH(LARGE(公司存款明细!D:D,7),公司存款明细!D:D,0))</f>
        <v>0.8945</v>
      </c>
    </row>
    <row r="19" customFormat="false" ht="15" hidden="false" customHeight="false" outlineLevel="0" collapsed="false">
      <c r="A19" s="11" t="n">
        <v>8</v>
      </c>
      <c r="B19" s="11" t="str">
        <f aca="false">INDEX(公司存款明细!A:A,MATCH(LARGE(公司存款明细!D:D,8),公司存款明细!D:D,0))</f>
        <v>1003</v>
      </c>
      <c r="C19" s="12" t="str">
        <f aca="false">INDEX(公司存款明细!B:B,MATCH(LARGE(公司存款明细!D:D,8),公司存款明细!D:D,0))</f>
        <v>城西支行</v>
      </c>
      <c r="D19" s="11" t="str">
        <f aca="false">INDEX(公司存款明细!C:C,MATCH(LARGE(公司存款明细!D:D,8),公司存款明细!D:D,0))</f>
        <v>活期存款</v>
      </c>
      <c r="E19" s="14" t="n">
        <f aca="false">LARGE(公司存款明细!D:D,8)</f>
        <v>156800.75</v>
      </c>
      <c r="F19" s="15" t="n">
        <f aca="false">INDEX(公司存款明细!P:P,MATCH(LARGE(公司存款明细!D:D,8),公司存款明细!D:D,0))</f>
        <v>0.922357352941176</v>
      </c>
    </row>
    <row r="20" customFormat="false" ht="15" hidden="false" customHeight="false" outlineLevel="0" collapsed="false">
      <c r="A20" s="4" t="n">
        <v>9</v>
      </c>
      <c r="B20" s="4" t="str">
        <f aca="false">INDEX(公司存款明细!A:A,MATCH(LARGE(公司存款明细!D:D,9),公司存款明细!D:D,0))</f>
        <v>1013</v>
      </c>
      <c r="C20" s="5" t="str">
        <f aca="false">INDEX(公司存款明细!B:B,MATCH(LARGE(公司存款明细!D:D,9),公司存款明细!D:D,0))</f>
        <v>高铁新城支行</v>
      </c>
      <c r="D20" s="4" t="str">
        <f aca="false">INDEX(公司存款明细!C:C,MATCH(LARGE(公司存款明细!D:D,9),公司存款明细!D:D,0))</f>
        <v>定期存款</v>
      </c>
      <c r="E20" s="8" t="n">
        <f aca="false">LARGE(公司存款明细!D:D,9)</f>
        <v>135600</v>
      </c>
      <c r="F20" s="9" t="n">
        <f aca="false">INDEX(公司存款明细!P:P,MATCH(LARGE(公司存款明细!D:D,9),公司存款明细!D:D,0))</f>
        <v>0.8475</v>
      </c>
    </row>
    <row r="21" customFormat="false" ht="15" hidden="false" customHeight="false" outlineLevel="0" collapsed="false">
      <c r="A21" s="11" t="n">
        <v>10</v>
      </c>
      <c r="B21" s="11" t="str">
        <f aca="false">INDEX(公司存款明细!A:A,MATCH(LARGE(公司存款明细!D:D,10),公司存款明细!D:D,0))</f>
        <v>1005</v>
      </c>
      <c r="C21" s="12" t="str">
        <f aca="false">INDEX(公司存款明细!B:B,MATCH(LARGE(公司存款明细!D:D,10),公司存款明细!D:D,0))</f>
        <v>城北支行</v>
      </c>
      <c r="D21" s="11" t="str">
        <f aca="false">INDEX(公司存款明细!C:C,MATCH(LARGE(公司存款明细!D:D,10),公司存款明细!D:D,0))</f>
        <v>活期存款</v>
      </c>
      <c r="E21" s="14" t="n">
        <f aca="false">LARGE(公司存款明细!D:D,10)</f>
        <v>132400.3</v>
      </c>
      <c r="F21" s="15" t="n">
        <f aca="false">INDEX(公司存款明细!P:P,MATCH(LARGE(公司存款明细!D:D,10),公司存款明细!D:D,0))</f>
        <v>0.882668666666667</v>
      </c>
    </row>
    <row r="24" customFormat="false" ht="15" hidden="false" customHeight="false" outlineLevel="0" collapsed="false">
      <c r="A24" s="22" t="s">
        <v>66</v>
      </c>
      <c r="B24" s="22"/>
      <c r="C24" s="22"/>
      <c r="D24" s="22"/>
      <c r="E24" s="22"/>
      <c r="F24" s="22"/>
    </row>
    <row r="25" customFormat="false" ht="15" hidden="false" customHeight="false" outlineLevel="0" collapsed="false">
      <c r="A25" s="26" t="s">
        <v>67</v>
      </c>
      <c r="B25" s="26"/>
      <c r="C25" s="26"/>
      <c r="D25" s="27" t="n">
        <f aca="false">公司存款明细!D19</f>
        <v>2232503.35</v>
      </c>
      <c r="E25" s="27"/>
      <c r="F25" s="27"/>
    </row>
    <row r="26" customFormat="false" ht="15" hidden="false" customHeight="false" outlineLevel="0" collapsed="false">
      <c r="A26" s="26" t="s">
        <v>68</v>
      </c>
      <c r="B26" s="26"/>
      <c r="C26" s="26"/>
      <c r="D26" s="27" t="n">
        <f aca="false">公司存款明细!H19</f>
        <v>2167700.8</v>
      </c>
      <c r="E26" s="27"/>
      <c r="F26" s="27"/>
    </row>
    <row r="27" customFormat="false" ht="15" hidden="false" customHeight="false" outlineLevel="0" collapsed="false">
      <c r="A27" s="26" t="s">
        <v>69</v>
      </c>
      <c r="B27" s="26"/>
      <c r="C27" s="26"/>
      <c r="D27" s="27" t="n">
        <f aca="false">公司存款明细!L19</f>
        <v>83400</v>
      </c>
      <c r="E27" s="27"/>
      <c r="F27" s="27"/>
    </row>
    <row r="28" customFormat="false" ht="15" hidden="false" customHeight="false" outlineLevel="0" collapsed="false">
      <c r="A28" s="26" t="s">
        <v>70</v>
      </c>
      <c r="B28" s="26"/>
      <c r="C28" s="26"/>
      <c r="D28" s="27" t="n">
        <f aca="false">公司存款明细!M19</f>
        <v>60100</v>
      </c>
      <c r="E28" s="27"/>
      <c r="F28" s="27"/>
    </row>
    <row r="29" customFormat="false" ht="15" hidden="false" customHeight="false" outlineLevel="0" collapsed="false">
      <c r="A29" s="26" t="s">
        <v>71</v>
      </c>
      <c r="B29" s="26"/>
      <c r="C29" s="26"/>
      <c r="D29" s="28" t="n">
        <f aca="false">AVERAGE(公司存款明细!N4:N18)</f>
        <v>0.0884666666666667</v>
      </c>
      <c r="E29" s="28"/>
      <c r="F29" s="28"/>
    </row>
    <row r="30" customFormat="false" ht="15" hidden="false" customHeight="false" outlineLevel="0" collapsed="false">
      <c r="A30" s="26" t="s">
        <v>72</v>
      </c>
      <c r="B30" s="26"/>
      <c r="C30" s="26"/>
      <c r="D30" s="28" t="n">
        <f aca="false">公司存款明细!P19</f>
        <v>0.870371676413255</v>
      </c>
      <c r="E30" s="28"/>
      <c r="F30" s="28"/>
    </row>
    <row r="33" customFormat="false" ht="15" hidden="false" customHeight="false" outlineLevel="0" collapsed="false">
      <c r="A33" s="22" t="s">
        <v>73</v>
      </c>
      <c r="B33" s="22"/>
      <c r="C33" s="22"/>
      <c r="D33" s="22"/>
      <c r="E33" s="22"/>
      <c r="F33" s="22"/>
    </row>
    <row r="34" customFormat="false" ht="15" hidden="false" customHeight="false" outlineLevel="0" collapsed="false">
      <c r="A34" s="3" t="s">
        <v>18</v>
      </c>
      <c r="B34" s="3" t="s">
        <v>58</v>
      </c>
      <c r="C34" s="3" t="s">
        <v>59</v>
      </c>
      <c r="D34" s="3" t="s">
        <v>74</v>
      </c>
    </row>
    <row r="35" customFormat="false" ht="15" hidden="false" customHeight="false" outlineLevel="0" collapsed="false">
      <c r="A35" s="10" t="s">
        <v>22</v>
      </c>
      <c r="B35" s="10" t="n">
        <f aca="false">COUNTIF(公司存款明细!Q:Q,A35)</f>
        <v>10</v>
      </c>
      <c r="C35" s="29" t="n">
        <f aca="false">SUMIF(公司存款明细!Q:Q,A35,公司存款明细!D:D)</f>
        <v>1642701.8</v>
      </c>
      <c r="D35" s="30" t="n">
        <f aca="false">IF(SUM(C35:C37)=0,"-",C35/SUM(C35:C37))</f>
        <v>0.735811572242434</v>
      </c>
    </row>
    <row r="36" customFormat="false" ht="15" hidden="false" customHeight="false" outlineLevel="0" collapsed="false">
      <c r="A36" s="16" t="s">
        <v>28</v>
      </c>
      <c r="B36" s="16" t="n">
        <f aca="false">COUNTIF(公司存款明细!Q:Q,A36)</f>
        <v>4</v>
      </c>
      <c r="C36" s="31" t="n">
        <f aca="false">SUMIF(公司存款明细!Q:Q,A36,公司存款明细!D:D)</f>
        <v>537001.55</v>
      </c>
      <c r="D36" s="32" t="n">
        <f aca="false">IF(SUM(C35:C37)=0,"-",C36/SUM(C35:C37))</f>
        <v>0.240537847345223</v>
      </c>
    </row>
    <row r="37" customFormat="false" ht="15" hidden="false" customHeight="false" outlineLevel="0" collapsed="false">
      <c r="A37" s="17" t="s">
        <v>54</v>
      </c>
      <c r="B37" s="17" t="n">
        <f aca="false">COUNTIF(公司存款明细!Q:Q,A37)</f>
        <v>1</v>
      </c>
      <c r="C37" s="33" t="n">
        <f aca="false">SUMIF(公司存款明细!Q:Q,A37,公司存款明细!D:D)</f>
        <v>52800</v>
      </c>
      <c r="D37" s="34" t="n">
        <f aca="false">IF(SUM(C35:C37)=0,"-",C37/SUM(C35:C37))</f>
        <v>0.0236505804123429</v>
      </c>
    </row>
  </sheetData>
  <mergeCells count="17">
    <mergeCell ref="A1:F1"/>
    <mergeCell ref="A3:F3"/>
    <mergeCell ref="A10:F10"/>
    <mergeCell ref="A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2026-04-09T17:15:11Z</dcterms:created>
  <dc:creator>openpyxl</dc:creator>
  <dc:description/>
  <dc:language>en-US</dc:language>
  <cp:lastModifiedBy/>
  <dcterms:modified xsi:type="dcterms:W3CDTF">2026-04-09T17:15:11Z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